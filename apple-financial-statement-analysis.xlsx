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uai\Desktop\2026 Summer Internship\小项目\"/>
    </mc:Choice>
  </mc:AlternateContent>
  <xr:revisionPtr revIDLastSave="0" documentId="13_ncr:1_{74249646-CB3F-46D0-A1E3-00A44C32288A}" xr6:coauthVersionLast="47" xr6:coauthVersionMax="47" xr10:uidLastSave="{00000000-0000-0000-0000-000000000000}"/>
  <bookViews>
    <workbookView xWindow="13710" yWindow="-16320" windowWidth="29040" windowHeight="15720" xr2:uid="{00000000-000D-0000-FFFF-FFFF00000000}"/>
  </bookViews>
  <sheets>
    <sheet name="Dashboard" sheetId="5" r:id="rId1"/>
    <sheet name="Key Ratios" sheetId="3" r:id="rId2"/>
    <sheet name="Income Statement" sheetId="1" r:id="rId3"/>
    <sheet name="Cash Flow Statement" sheetId="4" r:id="rId4"/>
    <sheet name="Balance She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9" i="5" s="1"/>
  <c r="B18" i="3"/>
  <c r="B9" i="5" s="1"/>
  <c r="C17" i="3"/>
  <c r="C8" i="5" s="1"/>
  <c r="B17" i="3"/>
  <c r="B8" i="5" s="1"/>
  <c r="C14" i="3"/>
  <c r="C6" i="5" s="1"/>
  <c r="B14" i="3"/>
  <c r="B6" i="5" s="1"/>
  <c r="C11" i="3"/>
  <c r="C5" i="5" s="1"/>
  <c r="B11" i="3"/>
  <c r="B5" i="5" s="1"/>
  <c r="C8" i="3"/>
  <c r="C4" i="5" s="1"/>
  <c r="B8" i="3"/>
  <c r="B4" i="5" s="1"/>
  <c r="C7" i="3"/>
  <c r="C3" i="5" s="1"/>
  <c r="B7" i="3"/>
  <c r="B3" i="5" s="1"/>
</calcChain>
</file>

<file path=xl/sharedStrings.xml><?xml version="1.0" encoding="utf-8"?>
<sst xmlns="http://schemas.openxmlformats.org/spreadsheetml/2006/main" count="122" uniqueCount="106">
  <si>
    <t>Item</t>
  </si>
  <si>
    <t>2025</t>
  </si>
  <si>
    <t>2024</t>
  </si>
  <si>
    <t>Total Net Sales</t>
  </si>
  <si>
    <t>Total Cost of Sales</t>
  </si>
  <si>
    <t>Gross Margin</t>
  </si>
  <si>
    <t>Total Operating Expenses</t>
  </si>
  <si>
    <t>Operating Income</t>
  </si>
  <si>
    <t>Other Income (Expense), net</t>
  </si>
  <si>
    <t>Income Before Tax</t>
  </si>
  <si>
    <t>Income Tax Provision</t>
  </si>
  <si>
    <t>Net Income</t>
  </si>
  <si>
    <t>Total liabilities and shareholders' equity</t>
  </si>
  <si>
    <t>Total shareholders' equity</t>
  </si>
  <si>
    <t>Accumulated other comprehensive loss</t>
  </si>
  <si>
    <t>Accumulated deficit</t>
  </si>
  <si>
    <t>Common stock and APIC</t>
  </si>
  <si>
    <t>Total liabilities</t>
  </si>
  <si>
    <t>Other non-current liabilities</t>
  </si>
  <si>
    <t>Term debt (non-current)</t>
  </si>
  <si>
    <t>Term debt (current)</t>
  </si>
  <si>
    <t>Commercial paper</t>
  </si>
  <si>
    <t>Deferred revenue</t>
  </si>
  <si>
    <t>Other current liabilities</t>
  </si>
  <si>
    <t>Accounts payable</t>
  </si>
  <si>
    <t>Other non-current assets</t>
  </si>
  <si>
    <t>Property, plant and equipment, net</t>
  </si>
  <si>
    <t>Marketable securities (non-current)</t>
  </si>
  <si>
    <t>Other current assets</t>
  </si>
  <si>
    <t>Inventories</t>
  </si>
  <si>
    <t>Vendor non-trade receivables</t>
  </si>
  <si>
    <t>Accounts receivable, net</t>
  </si>
  <si>
    <t>Marketable securities (current)</t>
  </si>
  <si>
    <t>Cash and cash equivalents</t>
  </si>
  <si>
    <t>Beginning cash and cash equivalents</t>
  </si>
  <si>
    <t>Net income</t>
  </si>
  <si>
    <t>Depreciation and amortization</t>
  </si>
  <si>
    <t>Share-based compensation expense</t>
  </si>
  <si>
    <t>Other adjustments</t>
  </si>
  <si>
    <t>Other current and non-current assets</t>
  </si>
  <si>
    <t>Other current and non-current liabilities</t>
  </si>
  <si>
    <t>Cash generated by operating activities</t>
  </si>
  <si>
    <t>Purchases of marketable securities</t>
  </si>
  <si>
    <t>Proceeds from maturities of marketable securities</t>
  </si>
  <si>
    <t>Proceeds from sales of marketable securities</t>
  </si>
  <si>
    <t>Payments for acquisition of property, plant and equipment</t>
  </si>
  <si>
    <t>Other investing activities</t>
  </si>
  <si>
    <t>Cash generated by investing activities</t>
  </si>
  <si>
    <t>Payments for taxes related to net share settlement of equity awards</t>
  </si>
  <si>
    <t>Payments of dividends and dividend equivalents</t>
  </si>
  <si>
    <t>Repurchases of common stock</t>
  </si>
  <si>
    <t>Proceeds from issuance of term debt, net</t>
  </si>
  <si>
    <t>Repayments of term debt</t>
  </si>
  <si>
    <t>Proceeds from (repayments of) commercial paper, net</t>
  </si>
  <si>
    <t>Other financing activities</t>
  </si>
  <si>
    <t>Cash used in financing activities</t>
  </si>
  <si>
    <t>Increase/(decrease) in cash</t>
  </si>
  <si>
    <t>Ending cash and cash equivalents</t>
  </si>
  <si>
    <t>Net Profit Margin</t>
  </si>
  <si>
    <t>Operating Margin</t>
  </si>
  <si>
    <t>Current Ratio</t>
  </si>
  <si>
    <t>Debt-to-Equity Ratio</t>
  </si>
  <si>
    <t>Operating Cash flow to net income</t>
  </si>
  <si>
    <t>free cash flow</t>
  </si>
  <si>
    <t>Profitability</t>
  </si>
  <si>
    <t>Liquidity</t>
  </si>
  <si>
    <t>Leverage</t>
  </si>
  <si>
    <t>Metric</t>
  </si>
  <si>
    <t>Cash Flow</t>
  </si>
  <si>
    <t>Current Liabilities</t>
  </si>
  <si>
    <t>Shareholders' Equity</t>
  </si>
  <si>
    <t>Apple Inc.</t>
  </si>
  <si>
    <t>Balance Sheet</t>
  </si>
  <si>
    <t>USD (Millions)</t>
  </si>
  <si>
    <t>Current Assets</t>
  </si>
  <si>
    <t>Total Current Assets</t>
  </si>
  <si>
    <t>Non-Current Assets</t>
  </si>
  <si>
    <t>Total Non-Current Assets</t>
  </si>
  <si>
    <t>Total Current Liabilities</t>
  </si>
  <si>
    <t>Non-Current Liabilities</t>
  </si>
  <si>
    <t>Total Non-Current Liabilities</t>
  </si>
  <si>
    <t>Total Assets</t>
  </si>
  <si>
    <t>Cash flows from operating activities</t>
  </si>
  <si>
    <t>Cash flows from investing activities</t>
  </si>
  <si>
    <t>Cash flows from financing activities</t>
  </si>
  <si>
    <t>Net change in cash</t>
  </si>
  <si>
    <t xml:space="preserve">  Net Profit Margin</t>
  </si>
  <si>
    <t xml:space="preserve">  Operating Margin</t>
  </si>
  <si>
    <t xml:space="preserve">  Current Ratio</t>
  </si>
  <si>
    <t xml:space="preserve">  Debt-to-Equity Ratio</t>
  </si>
  <si>
    <t xml:space="preserve">  Operating Cash Flow to Net Income</t>
  </si>
  <si>
    <t xml:space="preserve">  Free Cash Flow</t>
  </si>
  <si>
    <t>Key Ratios</t>
  </si>
  <si>
    <t>Ratio</t>
  </si>
  <si>
    <t>Income Statement</t>
  </si>
  <si>
    <t>Net sales</t>
  </si>
  <si>
    <t xml:space="preserve">  Net sales - Products</t>
  </si>
  <si>
    <t xml:space="preserve">  Net sales - Services</t>
  </si>
  <si>
    <t>Cost of sales</t>
  </si>
  <si>
    <t xml:space="preserve">  Cost of sales - Products</t>
  </si>
  <si>
    <t xml:space="preserve">  Cost of sales - Services</t>
  </si>
  <si>
    <t>Operating expenses</t>
  </si>
  <si>
    <t xml:space="preserve">  R&amp;D Expense</t>
  </si>
  <si>
    <t xml:space="preserve">  SG&amp;A Expense</t>
  </si>
  <si>
    <t>Cash Flow Statement</t>
  </si>
  <si>
    <t xml:space="preserve">Key Financial Metrics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</si>
</sst>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7" fillId="2" borderId="0" xfId="0" applyFon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right"/>
    </xf>
    <xf numFmtId="0" fontId="7" fillId="0" borderId="0" xfId="0" applyFont="1"/>
    <xf numFmtId="164" fontId="0" fillId="0" borderId="0" xfId="0" applyNumberFormat="1" applyAlignment="1">
      <alignment horizontal="right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Profitability</a:t>
            </a:r>
            <a:r>
              <a:rPr lang="en-CA" baseline="0"/>
              <a:t> Comparison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Dashboard!$A$3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Dashboard!$B$3:$C$3</c:f>
              <c:numCache>
                <c:formatCode>0.00</c:formatCode>
                <c:ptCount val="2"/>
                <c:pt idx="0">
                  <c:v>0.26915064121818238</c:v>
                </c:pt>
                <c:pt idx="1">
                  <c:v>0.23971255769943867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4-4474-A3AE-3B08C3A07FFD}"/>
            </c:ext>
          </c:extLst>
        </c:ser>
        <c:ser>
          <c:idx val="1"/>
          <c:order val="1"/>
          <c:tx>
            <c:strRef>
              <c:f>Dashboard!$A$4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Dashboard!$B$4:$C$4</c:f>
              <c:numCache>
                <c:formatCode>0.00</c:formatCode>
                <c:ptCount val="2"/>
                <c:pt idx="0">
                  <c:v>0.31970799762591884</c:v>
                </c:pt>
                <c:pt idx="1">
                  <c:v>0.31510222870075566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4-4474-A3AE-3B08C3A0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119375"/>
        <c:axId val="1806120335"/>
      </c:barChart>
      <c:catAx>
        <c:axId val="180611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20335"/>
        <c:crosses val="autoZero"/>
        <c:auto val="1"/>
        <c:lblAlgn val="ctr"/>
        <c:lblOffset val="100"/>
        <c:noMultiLvlLbl val="0"/>
      </c:catAx>
      <c:valAx>
        <c:axId val="18061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1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Liquidity</a:t>
            </a:r>
            <a:r>
              <a:rPr lang="en-CA" baseline="0"/>
              <a:t> and Capital Structure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Dashboard!$B$5:$C$5</c:f>
              <c:numCache>
                <c:formatCode>0.00</c:formatCode>
                <c:ptCount val="2"/>
                <c:pt idx="0">
                  <c:v>0.89329292221866674</c:v>
                </c:pt>
                <c:pt idx="1">
                  <c:v>0.86762245575033037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E-4947-837E-141B0F60988F}"/>
            </c:ext>
          </c:extLst>
        </c:ser>
        <c:ser>
          <c:idx val="1"/>
          <c:order val="1"/>
          <c:tx>
            <c:strRef>
              <c:f>Dashboard!$A$6</c:f>
              <c:strCache>
                <c:ptCount val="1"/>
                <c:pt idx="0">
                  <c:v>Debt-to-Equity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Dashboard!$B$6:$C$6</c:f>
              <c:numCache>
                <c:formatCode>0.00</c:formatCode>
                <c:ptCount val="2"/>
                <c:pt idx="0">
                  <c:v>3.8721874872852049</c:v>
                </c:pt>
                <c:pt idx="1">
                  <c:v>5.408779631255487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E-4947-837E-141B0F609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901535"/>
        <c:axId val="1821902015"/>
      </c:barChart>
      <c:catAx>
        <c:axId val="18219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02015"/>
        <c:crosses val="autoZero"/>
        <c:auto val="1"/>
        <c:lblAlgn val="ctr"/>
        <c:lblOffset val="100"/>
        <c:noMultiLvlLbl val="0"/>
      </c:catAx>
      <c:valAx>
        <c:axId val="182190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Free</a:t>
            </a:r>
            <a:r>
              <a:rPr lang="en-CA" baseline="0"/>
              <a:t> Cash Flow (in USD millions)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Dashboard!$A$9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Dashboard!$B$9:$C$9</c:f>
              <c:numCache>
                <c:formatCode>General</c:formatCode>
                <c:ptCount val="2"/>
                <c:pt idx="0">
                  <c:v>98767</c:v>
                </c:pt>
                <c:pt idx="1">
                  <c:v>109907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E-4C71-9B8B-471438B9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224719"/>
        <c:axId val="1681226159"/>
      </c:barChart>
      <c:catAx>
        <c:axId val="168122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26159"/>
        <c:crosses val="autoZero"/>
        <c:auto val="1"/>
        <c:lblAlgn val="ctr"/>
        <c:lblOffset val="100"/>
        <c:noMultiLvlLbl val="0"/>
      </c:catAx>
      <c:valAx>
        <c:axId val="168122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2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38100</xdr:colOff>
      <xdr:row>16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CC30EB-89A9-9262-88FA-A0FD450C4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64770</xdr:rowOff>
    </xdr:from>
    <xdr:to>
      <xdr:col>5</xdr:col>
      <xdr:colOff>190500</xdr:colOff>
      <xdr:row>32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876EA9-17FB-31FF-FD07-D4ECD6F27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16</xdr:row>
      <xdr:rowOff>50800</xdr:rowOff>
    </xdr:from>
    <xdr:to>
      <xdr:col>13</xdr:col>
      <xdr:colOff>12700</xdr:colOff>
      <xdr:row>32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7A594A-58FB-7B78-0F13-D810DDAB4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32</xdr:row>
      <xdr:rowOff>165098</xdr:rowOff>
    </xdr:from>
    <xdr:ext cx="9405257" cy="291737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2C6CAB-3532-CF42-ADCD-1E2E18CC5B66}"/>
            </a:ext>
          </a:extLst>
        </xdr:cNvPr>
        <xdr:cNvSpPr txBox="1"/>
      </xdr:nvSpPr>
      <xdr:spPr>
        <a:xfrm>
          <a:off x="0" y="6051548"/>
          <a:ext cx="9405257" cy="2917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CA" sz="1100"/>
            <a:t>				</a:t>
          </a:r>
          <a:r>
            <a:rPr lang="en-CA" sz="1100" baseline="0"/>
            <a:t>               </a:t>
          </a:r>
          <a:r>
            <a:rPr lang="en-CA" sz="1100"/>
            <a:t>Written Analysis</a:t>
          </a:r>
          <a:br>
            <a:rPr lang="en-CA" sz="1100"/>
          </a:br>
          <a:br>
            <a:rPr lang="en-CA" sz="1100"/>
          </a:br>
          <a:r>
            <a:rPr lang="en-CA" sz="1100"/>
            <a:t>Profitability</a:t>
          </a:r>
        </a:p>
        <a:p>
          <a:r>
            <a:rPr lang="en-CA" sz="1100"/>
            <a:t>Profitability remained stable, with net profit margin decreasing slightly from 27% to 24%, while operating margin stayed constant at 32%, indicating consistent operating efficiency despite mild pressure on net earnings.</a:t>
          </a:r>
          <a:br>
            <a:rPr lang="en-CA" sz="1100"/>
          </a:br>
          <a:br>
            <a:rPr lang="en-CA" sz="1100"/>
          </a:br>
          <a:br>
            <a:rPr lang="en-CA" sz="1100"/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Liquidity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current ratio declined marginally from </a:t>
          </a:r>
          <a:r>
            <a:rPr lang="en-CA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0.89 to 0.87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suggesting stable but tight short-term liquidity management.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Leverage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debt-to-equity ratio increased from </a:t>
          </a:r>
          <a:r>
            <a:rPr lang="en-CA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3.87 to 5.41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indicating higher leverage and increased reliance on debt financing.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Cash Flow Quality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Operating cash flow exceeded net income in both periods, indicating high earnings quality. Free cash flow increased year-over-year, suggesting improved cash generation and financial flexibility.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br>
            <a:rPr lang="en-CA" sz="1100"/>
          </a:br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0672-943B-4497-9D26-EBF98CDFB8C0}">
  <dimension ref="A1:O50"/>
  <sheetViews>
    <sheetView tabSelected="1" zoomScale="80" zoomScaleNormal="80" workbookViewId="0">
      <selection activeCell="P25" sqref="P25"/>
    </sheetView>
  </sheetViews>
  <sheetFormatPr defaultRowHeight="14.4" x14ac:dyDescent="0.3"/>
  <cols>
    <col min="1" max="1" width="34.6640625" bestFit="1" customWidth="1"/>
    <col min="2" max="3" width="9.5546875" bestFit="1" customWidth="1"/>
  </cols>
  <sheetData>
    <row r="1" spans="1:3" x14ac:dyDescent="0.3">
      <c r="A1" s="26" t="s">
        <v>105</v>
      </c>
      <c r="B1" s="27"/>
      <c r="C1" s="28"/>
    </row>
    <row r="2" spans="1:3" x14ac:dyDescent="0.3">
      <c r="A2" s="4" t="s">
        <v>67</v>
      </c>
      <c r="B2" s="4">
        <v>2024</v>
      </c>
      <c r="C2" s="4">
        <v>2025</v>
      </c>
    </row>
    <row r="3" spans="1:3" x14ac:dyDescent="0.3">
      <c r="A3" s="5" t="s">
        <v>58</v>
      </c>
      <c r="B3" s="6">
        <f>'Key Ratios'!B7</f>
        <v>0.26915064121818238</v>
      </c>
      <c r="C3" s="6">
        <f>'Key Ratios'!C7</f>
        <v>0.23971255769943867</v>
      </c>
    </row>
    <row r="4" spans="1:3" x14ac:dyDescent="0.3">
      <c r="A4" s="5" t="s">
        <v>59</v>
      </c>
      <c r="B4" s="6">
        <f>'Key Ratios'!B8</f>
        <v>0.31970799762591884</v>
      </c>
      <c r="C4" s="6">
        <f>'Key Ratios'!C8</f>
        <v>0.31510222870075566</v>
      </c>
    </row>
    <row r="5" spans="1:3" x14ac:dyDescent="0.3">
      <c r="A5" s="5" t="s">
        <v>60</v>
      </c>
      <c r="B5" s="6">
        <f>'Key Ratios'!B11</f>
        <v>0.89329292221866674</v>
      </c>
      <c r="C5" s="6">
        <f>'Key Ratios'!C11</f>
        <v>0.86762245575033037</v>
      </c>
    </row>
    <row r="6" spans="1:3" x14ac:dyDescent="0.3">
      <c r="A6" s="5" t="s">
        <v>61</v>
      </c>
      <c r="B6" s="6">
        <f>'Key Ratios'!B14</f>
        <v>3.8721874872852049</v>
      </c>
      <c r="C6" s="6">
        <f>'Key Ratios'!C14</f>
        <v>5.408779631255487</v>
      </c>
    </row>
    <row r="7" spans="1:3" x14ac:dyDescent="0.3">
      <c r="A7" s="5"/>
      <c r="B7" s="6"/>
      <c r="C7" s="6"/>
    </row>
    <row r="8" spans="1:3" x14ac:dyDescent="0.3">
      <c r="A8" s="5" t="s">
        <v>62</v>
      </c>
      <c r="B8" s="6">
        <f>'Key Ratios'!B17</f>
        <v>0.99528613516650299</v>
      </c>
      <c r="C8" s="6">
        <f>'Key Ratios'!C17</f>
        <v>1.2615643936161134</v>
      </c>
    </row>
    <row r="9" spans="1:3" x14ac:dyDescent="0.3">
      <c r="A9" s="5" t="s">
        <v>63</v>
      </c>
      <c r="B9" s="5">
        <f>'Key Ratios'!B18</f>
        <v>98767</v>
      </c>
      <c r="C9" s="5">
        <f>'Key Ratios'!C18</f>
        <v>109907</v>
      </c>
    </row>
    <row r="10" spans="1:3" x14ac:dyDescent="0.3">
      <c r="A10" s="25"/>
      <c r="B10" s="25"/>
      <c r="C10" s="25"/>
    </row>
    <row r="11" spans="1:3" x14ac:dyDescent="0.3">
      <c r="A11" s="24"/>
      <c r="B11" s="24"/>
      <c r="C11" s="24"/>
    </row>
    <row r="12" spans="1:3" x14ac:dyDescent="0.3">
      <c r="A12" s="24"/>
      <c r="B12" s="24"/>
      <c r="C12" s="24"/>
    </row>
    <row r="13" spans="1:3" x14ac:dyDescent="0.3">
      <c r="A13" s="24"/>
      <c r="B13" s="24"/>
      <c r="C13" s="24"/>
    </row>
    <row r="14" spans="1:3" x14ac:dyDescent="0.3">
      <c r="A14" s="24"/>
      <c r="B14" s="24"/>
      <c r="C14" s="24"/>
    </row>
    <row r="15" spans="1:3" x14ac:dyDescent="0.3">
      <c r="A15" s="24"/>
      <c r="B15" s="24"/>
      <c r="C15" s="24"/>
    </row>
    <row r="16" spans="1:3" x14ac:dyDescent="0.3">
      <c r="A16" s="24"/>
      <c r="B16" s="24"/>
      <c r="C16" s="24"/>
    </row>
    <row r="17" spans="1:15" x14ac:dyDescent="0.3">
      <c r="A17" s="24"/>
      <c r="B17" s="24"/>
      <c r="C17" s="24"/>
    </row>
    <row r="18" spans="1:15" x14ac:dyDescent="0.3">
      <c r="A18" s="24"/>
      <c r="B18" s="24"/>
      <c r="C18" s="24"/>
    </row>
    <row r="28" spans="1:15" ht="18" x14ac:dyDescent="0.3">
      <c r="O28" s="8"/>
    </row>
    <row r="29" spans="1:15" x14ac:dyDescent="0.3">
      <c r="O29" s="7"/>
    </row>
    <row r="31" spans="1:15" ht="18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O31" s="8"/>
    </row>
    <row r="32" spans="1:15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O32" s="7"/>
    </row>
    <row r="33" spans="1:15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5" ht="18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O34" s="8"/>
    </row>
    <row r="35" spans="1:15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O35" s="7"/>
    </row>
    <row r="36" spans="1:15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5" ht="18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O37" s="8"/>
    </row>
    <row r="38" spans="1:15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5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5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5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5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5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5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5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5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5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5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</sheetData>
  <mergeCells count="3">
    <mergeCell ref="A31:M50"/>
    <mergeCell ref="A10:C18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FAA-50E0-44B2-AC20-7716BA6D9E61}">
  <dimension ref="A1:H62"/>
  <sheetViews>
    <sheetView workbookViewId="0"/>
  </sheetViews>
  <sheetFormatPr defaultRowHeight="14.4" x14ac:dyDescent="0.3"/>
  <cols>
    <col min="1" max="1" width="29.77734375" bestFit="1" customWidth="1"/>
    <col min="7" max="7" width="84.21875" bestFit="1" customWidth="1"/>
  </cols>
  <sheetData>
    <row r="1" spans="1:8" ht="15.6" x14ac:dyDescent="0.3">
      <c r="A1" s="23" t="s">
        <v>71</v>
      </c>
      <c r="B1" s="3">
        <v>2025</v>
      </c>
      <c r="C1" s="3">
        <v>2024</v>
      </c>
    </row>
    <row r="2" spans="1:8" x14ac:dyDescent="0.3">
      <c r="A2" s="21" t="s">
        <v>92</v>
      </c>
      <c r="B2" s="3"/>
      <c r="C2" s="3"/>
      <c r="H2" s="19"/>
    </row>
    <row r="3" spans="1:8" x14ac:dyDescent="0.3">
      <c r="A3" t="s">
        <v>73</v>
      </c>
      <c r="H3" s="22"/>
    </row>
    <row r="5" spans="1:8" x14ac:dyDescent="0.3">
      <c r="A5" s="18" t="s">
        <v>93</v>
      </c>
      <c r="B5" s="19"/>
      <c r="C5" s="19"/>
    </row>
    <row r="6" spans="1:8" x14ac:dyDescent="0.3">
      <c r="A6" s="19" t="s">
        <v>64</v>
      </c>
      <c r="B6" s="19"/>
      <c r="C6" s="19"/>
    </row>
    <row r="7" spans="1:8" x14ac:dyDescent="0.3">
      <c r="A7" s="15" t="s">
        <v>86</v>
      </c>
      <c r="B7">
        <f>'Income Statement'!B26/'Income Statement'!B9</f>
        <v>0.26915064121818238</v>
      </c>
      <c r="C7">
        <f>'Income Statement'!C26/'Income Statement'!C9</f>
        <v>0.23971255769943867</v>
      </c>
    </row>
    <row r="8" spans="1:8" x14ac:dyDescent="0.3">
      <c r="A8" s="15" t="s">
        <v>87</v>
      </c>
      <c r="B8">
        <f>'Income Statement'!B21/'Income Statement'!B9</f>
        <v>0.31970799762591884</v>
      </c>
      <c r="C8">
        <f>'Income Statement'!C21/'Income Statement'!C9</f>
        <v>0.31510222870075566</v>
      </c>
    </row>
    <row r="9" spans="1:8" x14ac:dyDescent="0.3">
      <c r="B9" s="3"/>
      <c r="C9" s="3"/>
    </row>
    <row r="10" spans="1:8" x14ac:dyDescent="0.3">
      <c r="A10" s="19" t="s">
        <v>65</v>
      </c>
      <c r="B10" s="19"/>
      <c r="C10" s="19"/>
    </row>
    <row r="11" spans="1:8" x14ac:dyDescent="0.3">
      <c r="A11" s="15" t="s">
        <v>88</v>
      </c>
      <c r="B11">
        <f>'Balance Sheet'!B14/'Balance Sheet'!B30</f>
        <v>0.89329292221866674</v>
      </c>
      <c r="C11">
        <f>'Balance Sheet'!C14/'Balance Sheet'!C30</f>
        <v>0.86762245575033037</v>
      </c>
    </row>
    <row r="13" spans="1:8" x14ac:dyDescent="0.3">
      <c r="A13" s="19" t="s">
        <v>66</v>
      </c>
      <c r="B13" s="19"/>
      <c r="C13" s="19"/>
    </row>
    <row r="14" spans="1:8" x14ac:dyDescent="0.3">
      <c r="A14" s="15" t="s">
        <v>89</v>
      </c>
      <c r="B14">
        <f>'Balance Sheet'!B37/'Balance Sheet'!B43</f>
        <v>3.8721874872852049</v>
      </c>
      <c r="C14">
        <f>'Balance Sheet'!C37/'Balance Sheet'!C43</f>
        <v>5.408779631255487</v>
      </c>
    </row>
    <row r="16" spans="1:8" x14ac:dyDescent="0.3">
      <c r="A16" s="19" t="s">
        <v>68</v>
      </c>
      <c r="B16" s="19"/>
      <c r="C16" s="19"/>
    </row>
    <row r="17" spans="1:7" x14ac:dyDescent="0.3">
      <c r="A17" s="15" t="s">
        <v>90</v>
      </c>
      <c r="B17">
        <f>'Cash Flow Statement'!B17/'Income Statement'!B26</f>
        <v>0.99528613516650299</v>
      </c>
      <c r="C17">
        <f>'Cash Flow Statement'!C17/'Income Statement'!C26</f>
        <v>1.2615643936161134</v>
      </c>
    </row>
    <row r="18" spans="1:7" x14ac:dyDescent="0.3">
      <c r="A18" s="15" t="s">
        <v>91</v>
      </c>
      <c r="B18">
        <f>'Cash Flow Statement'!B17+'Cash Flow Statement'!B23</f>
        <v>98767</v>
      </c>
      <c r="C18">
        <f>'Cash Flow Statement'!C17+'Cash Flow Statement'!C23</f>
        <v>109907</v>
      </c>
    </row>
    <row r="25" spans="1:7" x14ac:dyDescent="0.3">
      <c r="G25" s="3"/>
    </row>
    <row r="28" spans="1:7" x14ac:dyDescent="0.3">
      <c r="G28" s="3"/>
    </row>
    <row r="33" spans="7:7" ht="23.4" x14ac:dyDescent="0.3">
      <c r="G33" s="1"/>
    </row>
    <row r="35" spans="7:7" ht="18" x14ac:dyDescent="0.3">
      <c r="G35" s="2"/>
    </row>
    <row r="37" spans="7:7" x14ac:dyDescent="0.3">
      <c r="G37" s="3"/>
    </row>
    <row r="40" spans="7:7" x14ac:dyDescent="0.3">
      <c r="G40" s="3"/>
    </row>
    <row r="45" spans="7:7" ht="23.4" x14ac:dyDescent="0.3">
      <c r="G45" s="1"/>
    </row>
    <row r="47" spans="7:7" ht="18" x14ac:dyDescent="0.3">
      <c r="G47" s="2"/>
    </row>
    <row r="49" spans="7:7" x14ac:dyDescent="0.3">
      <c r="G49" s="3"/>
    </row>
    <row r="52" spans="7:7" x14ac:dyDescent="0.3">
      <c r="G52" s="3"/>
    </row>
    <row r="57" spans="7:7" ht="18" x14ac:dyDescent="0.3">
      <c r="G57" s="2"/>
    </row>
    <row r="59" spans="7:7" x14ac:dyDescent="0.3">
      <c r="G59" s="3"/>
    </row>
    <row r="62" spans="7:7" x14ac:dyDescent="0.3">
      <c r="G6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workbookViewId="0">
      <selection activeCell="A2" sqref="A2"/>
    </sheetView>
  </sheetViews>
  <sheetFormatPr defaultRowHeight="14.4" x14ac:dyDescent="0.3"/>
  <cols>
    <col min="1" max="1" width="48.21875" bestFit="1" customWidth="1"/>
    <col min="2" max="3" width="7.44140625" bestFit="1" customWidth="1"/>
  </cols>
  <sheetData>
    <row r="1" spans="1:3" ht="15.6" x14ac:dyDescent="0.3">
      <c r="A1" s="23" t="s">
        <v>71</v>
      </c>
      <c r="B1" s="3"/>
      <c r="C1" s="3"/>
    </row>
    <row r="2" spans="1:3" x14ac:dyDescent="0.3">
      <c r="A2" s="21" t="s">
        <v>94</v>
      </c>
    </row>
    <row r="3" spans="1:3" x14ac:dyDescent="0.3">
      <c r="A3" t="s">
        <v>73</v>
      </c>
    </row>
    <row r="5" spans="1:3" x14ac:dyDescent="0.3">
      <c r="A5" s="18" t="s">
        <v>0</v>
      </c>
      <c r="B5" s="19" t="s">
        <v>1</v>
      </c>
      <c r="C5" s="19" t="s">
        <v>2</v>
      </c>
    </row>
    <row r="6" spans="1:3" x14ac:dyDescent="0.3">
      <c r="A6" s="19" t="s">
        <v>95</v>
      </c>
      <c r="B6" s="19"/>
      <c r="C6" s="19"/>
    </row>
    <row r="7" spans="1:3" x14ac:dyDescent="0.3">
      <c r="A7" s="15" t="s">
        <v>96</v>
      </c>
      <c r="B7">
        <v>307003</v>
      </c>
      <c r="C7">
        <v>294866</v>
      </c>
    </row>
    <row r="8" spans="1:3" x14ac:dyDescent="0.3">
      <c r="A8" s="15" t="s">
        <v>97</v>
      </c>
      <c r="B8">
        <v>109158</v>
      </c>
      <c r="C8">
        <v>96169</v>
      </c>
    </row>
    <row r="9" spans="1:3" x14ac:dyDescent="0.3">
      <c r="A9" s="21" t="s">
        <v>3</v>
      </c>
      <c r="B9" s="16">
        <v>416161</v>
      </c>
      <c r="C9" s="16">
        <v>391035</v>
      </c>
    </row>
    <row r="11" spans="1:3" x14ac:dyDescent="0.3">
      <c r="A11" s="19" t="s">
        <v>98</v>
      </c>
      <c r="B11" s="19"/>
      <c r="C11" s="19"/>
    </row>
    <row r="12" spans="1:3" x14ac:dyDescent="0.3">
      <c r="A12" s="15" t="s">
        <v>99</v>
      </c>
      <c r="B12">
        <v>194116</v>
      </c>
      <c r="C12">
        <v>185233</v>
      </c>
    </row>
    <row r="13" spans="1:3" x14ac:dyDescent="0.3">
      <c r="A13" s="15" t="s">
        <v>100</v>
      </c>
      <c r="B13">
        <v>26844</v>
      </c>
      <c r="C13">
        <v>25119</v>
      </c>
    </row>
    <row r="14" spans="1:3" x14ac:dyDescent="0.3">
      <c r="A14" s="21" t="s">
        <v>4</v>
      </c>
      <c r="B14" s="16">
        <v>220960</v>
      </c>
      <c r="C14" s="16">
        <v>210352</v>
      </c>
    </row>
    <row r="15" spans="1:3" x14ac:dyDescent="0.3">
      <c r="A15" s="21" t="s">
        <v>5</v>
      </c>
      <c r="B15" s="16">
        <v>195201</v>
      </c>
      <c r="C15" s="16">
        <v>180683</v>
      </c>
    </row>
    <row r="17" spans="1:3" x14ac:dyDescent="0.3">
      <c r="A17" s="19" t="s">
        <v>101</v>
      </c>
      <c r="B17" s="19"/>
      <c r="C17" s="19"/>
    </row>
    <row r="18" spans="1:3" x14ac:dyDescent="0.3">
      <c r="A18" s="15" t="s">
        <v>102</v>
      </c>
      <c r="B18">
        <v>34550</v>
      </c>
      <c r="C18">
        <v>31370</v>
      </c>
    </row>
    <row r="19" spans="1:3" x14ac:dyDescent="0.3">
      <c r="A19" s="15" t="s">
        <v>103</v>
      </c>
      <c r="B19">
        <v>27601</v>
      </c>
      <c r="C19">
        <v>26097</v>
      </c>
    </row>
    <row r="20" spans="1:3" x14ac:dyDescent="0.3">
      <c r="A20" s="21" t="s">
        <v>6</v>
      </c>
      <c r="B20" s="16">
        <v>62151</v>
      </c>
      <c r="C20" s="16">
        <v>57467</v>
      </c>
    </row>
    <row r="21" spans="1:3" x14ac:dyDescent="0.3">
      <c r="A21" s="21" t="s">
        <v>7</v>
      </c>
      <c r="B21" s="16">
        <v>133050</v>
      </c>
      <c r="C21" s="16">
        <v>123216</v>
      </c>
    </row>
    <row r="23" spans="1:3" x14ac:dyDescent="0.3">
      <c r="A23" s="15" t="s">
        <v>8</v>
      </c>
      <c r="B23">
        <v>-321</v>
      </c>
      <c r="C23">
        <v>269</v>
      </c>
    </row>
    <row r="24" spans="1:3" x14ac:dyDescent="0.3">
      <c r="A24" s="21" t="s">
        <v>9</v>
      </c>
      <c r="B24" s="16">
        <v>132729</v>
      </c>
      <c r="C24" s="16">
        <v>123485</v>
      </c>
    </row>
    <row r="25" spans="1:3" x14ac:dyDescent="0.3">
      <c r="A25" s="15" t="s">
        <v>10</v>
      </c>
      <c r="B25">
        <v>20719</v>
      </c>
      <c r="C25">
        <v>29749</v>
      </c>
    </row>
    <row r="26" spans="1:3" ht="15" thickBot="1" x14ac:dyDescent="0.35">
      <c r="A26" s="21" t="s">
        <v>11</v>
      </c>
      <c r="B26" s="17">
        <v>112010</v>
      </c>
      <c r="C26" s="17">
        <v>93736</v>
      </c>
    </row>
    <row r="27" spans="1: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E679-94BB-481E-B68C-5B1E820335CF}">
  <dimension ref="A1:C41"/>
  <sheetViews>
    <sheetView zoomScaleNormal="100" workbookViewId="0">
      <selection activeCell="E13" sqref="E13"/>
    </sheetView>
  </sheetViews>
  <sheetFormatPr defaultRowHeight="14.4" x14ac:dyDescent="0.3"/>
  <cols>
    <col min="1" max="1" width="57.44140625" bestFit="1" customWidth="1"/>
    <col min="2" max="3" width="7.6640625" bestFit="1" customWidth="1"/>
  </cols>
  <sheetData>
    <row r="1" spans="1:3" ht="15.6" x14ac:dyDescent="0.3">
      <c r="A1" s="11" t="s">
        <v>71</v>
      </c>
    </row>
    <row r="2" spans="1:3" x14ac:dyDescent="0.3">
      <c r="A2" s="12" t="s">
        <v>104</v>
      </c>
    </row>
    <row r="3" spans="1:3" x14ac:dyDescent="0.3">
      <c r="A3" t="s">
        <v>73</v>
      </c>
    </row>
    <row r="4" spans="1:3" x14ac:dyDescent="0.3">
      <c r="A4" s="3"/>
      <c r="B4" s="3"/>
      <c r="C4" s="3"/>
    </row>
    <row r="5" spans="1:3" x14ac:dyDescent="0.3">
      <c r="A5" s="18" t="s">
        <v>0</v>
      </c>
      <c r="B5" s="18" t="s">
        <v>1</v>
      </c>
      <c r="C5" s="18" t="s">
        <v>2</v>
      </c>
    </row>
    <row r="6" spans="1:3" x14ac:dyDescent="0.3">
      <c r="A6" s="18" t="s">
        <v>82</v>
      </c>
      <c r="B6" s="18"/>
      <c r="C6" s="18"/>
    </row>
    <row r="7" spans="1:3" x14ac:dyDescent="0.3">
      <c r="A7" t="s">
        <v>35</v>
      </c>
      <c r="B7">
        <v>112010</v>
      </c>
      <c r="C7">
        <v>93736</v>
      </c>
    </row>
    <row r="8" spans="1:3" x14ac:dyDescent="0.3">
      <c r="A8" t="s">
        <v>36</v>
      </c>
      <c r="B8">
        <v>11688</v>
      </c>
      <c r="C8">
        <v>11445</v>
      </c>
    </row>
    <row r="9" spans="1:3" x14ac:dyDescent="0.3">
      <c r="A9" t="s">
        <v>37</v>
      </c>
      <c r="B9">
        <v>12863</v>
      </c>
      <c r="C9">
        <v>11688</v>
      </c>
    </row>
    <row r="10" spans="1:3" x14ac:dyDescent="0.3">
      <c r="A10" t="s">
        <v>38</v>
      </c>
      <c r="B10">
        <v>-89</v>
      </c>
      <c r="C10">
        <v>-2266</v>
      </c>
    </row>
    <row r="11" spans="1:3" x14ac:dyDescent="0.3">
      <c r="A11" t="s">
        <v>31</v>
      </c>
      <c r="B11">
        <v>-6682</v>
      </c>
      <c r="C11">
        <v>-3788</v>
      </c>
    </row>
    <row r="12" spans="1:3" x14ac:dyDescent="0.3">
      <c r="A12" t="s">
        <v>30</v>
      </c>
      <c r="B12">
        <v>-347</v>
      </c>
      <c r="C12">
        <v>-1356</v>
      </c>
    </row>
    <row r="13" spans="1:3" x14ac:dyDescent="0.3">
      <c r="A13" t="s">
        <v>29</v>
      </c>
      <c r="B13">
        <v>1400</v>
      </c>
      <c r="C13">
        <v>-1046</v>
      </c>
    </row>
    <row r="14" spans="1:3" x14ac:dyDescent="0.3">
      <c r="A14" t="s">
        <v>39</v>
      </c>
      <c r="B14">
        <v>-9197</v>
      </c>
      <c r="C14">
        <v>-11731</v>
      </c>
    </row>
    <row r="15" spans="1:3" x14ac:dyDescent="0.3">
      <c r="A15" t="s">
        <v>24</v>
      </c>
      <c r="B15">
        <v>902</v>
      </c>
      <c r="C15">
        <v>6020</v>
      </c>
    </row>
    <row r="16" spans="1:3" x14ac:dyDescent="0.3">
      <c r="A16" t="s">
        <v>40</v>
      </c>
      <c r="B16">
        <v>-11076</v>
      </c>
      <c r="C16">
        <v>15552</v>
      </c>
    </row>
    <row r="17" spans="1:3" x14ac:dyDescent="0.3">
      <c r="A17" s="3" t="s">
        <v>41</v>
      </c>
      <c r="B17" s="16">
        <v>111482</v>
      </c>
      <c r="C17" s="16">
        <v>118254</v>
      </c>
    </row>
    <row r="19" spans="1:3" x14ac:dyDescent="0.3">
      <c r="A19" s="19" t="s">
        <v>83</v>
      </c>
      <c r="B19" s="20"/>
      <c r="C19" s="20"/>
    </row>
    <row r="20" spans="1:3" x14ac:dyDescent="0.3">
      <c r="A20" t="s">
        <v>42</v>
      </c>
      <c r="B20">
        <v>-24407</v>
      </c>
      <c r="C20">
        <v>-48656</v>
      </c>
    </row>
    <row r="21" spans="1:3" x14ac:dyDescent="0.3">
      <c r="A21" t="s">
        <v>43</v>
      </c>
      <c r="B21">
        <v>40907</v>
      </c>
      <c r="C21">
        <v>51211</v>
      </c>
    </row>
    <row r="22" spans="1:3" x14ac:dyDescent="0.3">
      <c r="A22" t="s">
        <v>44</v>
      </c>
      <c r="B22">
        <v>12890</v>
      </c>
      <c r="C22">
        <v>11135</v>
      </c>
    </row>
    <row r="23" spans="1:3" x14ac:dyDescent="0.3">
      <c r="A23" t="s">
        <v>45</v>
      </c>
      <c r="B23">
        <v>-12715</v>
      </c>
      <c r="C23">
        <v>-8347</v>
      </c>
    </row>
    <row r="24" spans="1:3" x14ac:dyDescent="0.3">
      <c r="A24" t="s">
        <v>46</v>
      </c>
      <c r="B24">
        <v>-1480</v>
      </c>
      <c r="C24">
        <v>-1308</v>
      </c>
    </row>
    <row r="25" spans="1:3" x14ac:dyDescent="0.3">
      <c r="A25" s="3" t="s">
        <v>47</v>
      </c>
      <c r="B25" s="16">
        <v>15195</v>
      </c>
      <c r="C25" s="16">
        <v>2935</v>
      </c>
    </row>
    <row r="26" spans="1:3" x14ac:dyDescent="0.3">
      <c r="A26" s="3"/>
    </row>
    <row r="27" spans="1:3" x14ac:dyDescent="0.3">
      <c r="A27" s="19" t="s">
        <v>84</v>
      </c>
      <c r="B27" s="20"/>
      <c r="C27" s="20"/>
    </row>
    <row r="28" spans="1:3" x14ac:dyDescent="0.3">
      <c r="A28" t="s">
        <v>48</v>
      </c>
      <c r="B28">
        <v>-5960</v>
      </c>
      <c r="C28">
        <v>-5441</v>
      </c>
    </row>
    <row r="29" spans="1:3" x14ac:dyDescent="0.3">
      <c r="A29" t="s">
        <v>49</v>
      </c>
      <c r="B29">
        <v>-15241</v>
      </c>
      <c r="C29">
        <v>-15234</v>
      </c>
    </row>
    <row r="30" spans="1:3" x14ac:dyDescent="0.3">
      <c r="A30" t="s">
        <v>50</v>
      </c>
      <c r="B30">
        <v>-90711</v>
      </c>
      <c r="C30">
        <v>-94949</v>
      </c>
    </row>
    <row r="31" spans="1:3" x14ac:dyDescent="0.3">
      <c r="A31" t="s">
        <v>51</v>
      </c>
      <c r="B31">
        <v>4481</v>
      </c>
      <c r="C31">
        <v>5228</v>
      </c>
    </row>
    <row r="32" spans="1:3" x14ac:dyDescent="0.3">
      <c r="A32" t="s">
        <v>52</v>
      </c>
      <c r="B32">
        <v>-10932</v>
      </c>
      <c r="C32">
        <v>-9858</v>
      </c>
    </row>
    <row r="33" spans="1:3" x14ac:dyDescent="0.3">
      <c r="A33" t="s">
        <v>53</v>
      </c>
      <c r="B33">
        <v>-2032</v>
      </c>
      <c r="C33">
        <v>3960</v>
      </c>
    </row>
    <row r="34" spans="1:3" x14ac:dyDescent="0.3">
      <c r="A34" t="s">
        <v>54</v>
      </c>
      <c r="B34">
        <v>-111</v>
      </c>
      <c r="C34">
        <v>-361</v>
      </c>
    </row>
    <row r="35" spans="1:3" x14ac:dyDescent="0.3">
      <c r="A35" t="s">
        <v>55</v>
      </c>
      <c r="B35" s="16">
        <v>-120566</v>
      </c>
      <c r="C35" s="16">
        <v>-121983</v>
      </c>
    </row>
    <row r="37" spans="1:3" x14ac:dyDescent="0.3">
      <c r="A37" s="19" t="s">
        <v>85</v>
      </c>
      <c r="B37" s="20"/>
      <c r="C37" s="20"/>
    </row>
    <row r="38" spans="1:3" x14ac:dyDescent="0.3">
      <c r="A38" s="21" t="s">
        <v>56</v>
      </c>
      <c r="B38">
        <v>5991</v>
      </c>
      <c r="C38">
        <v>-794</v>
      </c>
    </row>
    <row r="39" spans="1:3" x14ac:dyDescent="0.3">
      <c r="A39" s="15" t="s">
        <v>34</v>
      </c>
      <c r="B39">
        <v>29943</v>
      </c>
      <c r="C39">
        <v>30737</v>
      </c>
    </row>
    <row r="40" spans="1:3" ht="15" thickBot="1" x14ac:dyDescent="0.35">
      <c r="A40" s="21" t="s">
        <v>57</v>
      </c>
      <c r="B40" s="17">
        <v>35934</v>
      </c>
      <c r="C40" s="17">
        <v>29943</v>
      </c>
    </row>
    <row r="41" spans="1:3" ht="1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3A5D-672D-4A82-AE30-800E453C1216}">
  <dimension ref="A1:F46"/>
  <sheetViews>
    <sheetView zoomScaleNormal="100" workbookViewId="0">
      <selection activeCell="F18" sqref="F18"/>
    </sheetView>
  </sheetViews>
  <sheetFormatPr defaultRowHeight="14.4" x14ac:dyDescent="0.3"/>
  <cols>
    <col min="1" max="1" width="44.5546875" bestFit="1" customWidth="1"/>
    <col min="2" max="3" width="8.77734375" bestFit="1" customWidth="1"/>
    <col min="6" max="6" width="26.88671875" bestFit="1" customWidth="1"/>
  </cols>
  <sheetData>
    <row r="1" spans="1:6" ht="15.6" x14ac:dyDescent="0.3">
      <c r="A1" s="11" t="s">
        <v>71</v>
      </c>
      <c r="B1" s="10"/>
      <c r="C1" s="10"/>
    </row>
    <row r="2" spans="1:6" ht="15.6" x14ac:dyDescent="0.3">
      <c r="A2" s="12" t="s">
        <v>72</v>
      </c>
      <c r="B2" s="10"/>
      <c r="C2" s="10"/>
      <c r="F2" s="11"/>
    </row>
    <row r="3" spans="1:6" ht="15.6" x14ac:dyDescent="0.3">
      <c r="A3" t="s">
        <v>73</v>
      </c>
      <c r="B3" s="10"/>
      <c r="C3" s="10"/>
      <c r="F3" s="11"/>
    </row>
    <row r="4" spans="1:6" ht="15.6" x14ac:dyDescent="0.3">
      <c r="A4" s="9"/>
      <c r="B4" s="10"/>
      <c r="C4" s="10"/>
      <c r="F4" s="11"/>
    </row>
    <row r="5" spans="1:6" ht="15.6" x14ac:dyDescent="0.3">
      <c r="A5" s="9"/>
      <c r="B5" s="10"/>
      <c r="C5" s="10"/>
      <c r="F5" s="11"/>
    </row>
    <row r="6" spans="1:6" x14ac:dyDescent="0.3">
      <c r="A6" s="13" t="s">
        <v>0</v>
      </c>
      <c r="B6" s="13" t="s">
        <v>1</v>
      </c>
      <c r="C6" s="13" t="s">
        <v>2</v>
      </c>
    </row>
    <row r="7" spans="1:6" x14ac:dyDescent="0.3">
      <c r="A7" s="14" t="s">
        <v>74</v>
      </c>
      <c r="B7" s="14"/>
      <c r="C7" s="14"/>
    </row>
    <row r="8" spans="1:6" x14ac:dyDescent="0.3">
      <c r="A8" t="s">
        <v>33</v>
      </c>
      <c r="B8">
        <v>29943</v>
      </c>
      <c r="C8">
        <v>29943</v>
      </c>
    </row>
    <row r="9" spans="1:6" x14ac:dyDescent="0.3">
      <c r="A9" t="s">
        <v>32</v>
      </c>
      <c r="B9">
        <v>18783</v>
      </c>
      <c r="C9">
        <v>35228</v>
      </c>
    </row>
    <row r="10" spans="1:6" x14ac:dyDescent="0.3">
      <c r="A10" t="s">
        <v>31</v>
      </c>
      <c r="B10">
        <v>39777</v>
      </c>
      <c r="C10">
        <v>33410</v>
      </c>
      <c r="F10" s="15"/>
    </row>
    <row r="11" spans="1:6" x14ac:dyDescent="0.3">
      <c r="A11" t="s">
        <v>30</v>
      </c>
      <c r="B11">
        <v>33180</v>
      </c>
      <c r="C11">
        <v>32833</v>
      </c>
      <c r="F11" s="15"/>
    </row>
    <row r="12" spans="1:6" x14ac:dyDescent="0.3">
      <c r="A12" t="s">
        <v>29</v>
      </c>
      <c r="B12">
        <v>5718</v>
      </c>
      <c r="C12">
        <v>7286</v>
      </c>
      <c r="F12" s="15"/>
    </row>
    <row r="13" spans="1:6" x14ac:dyDescent="0.3">
      <c r="A13" t="s">
        <v>28</v>
      </c>
      <c r="B13">
        <v>14585</v>
      </c>
      <c r="C13">
        <v>14287</v>
      </c>
      <c r="F13" s="15"/>
    </row>
    <row r="14" spans="1:6" x14ac:dyDescent="0.3">
      <c r="A14" s="12" t="s">
        <v>75</v>
      </c>
      <c r="B14" s="16">
        <v>147957</v>
      </c>
      <c r="C14" s="16">
        <v>152987</v>
      </c>
      <c r="F14" s="15"/>
    </row>
    <row r="15" spans="1:6" x14ac:dyDescent="0.3">
      <c r="F15" s="15"/>
    </row>
    <row r="16" spans="1:6" x14ac:dyDescent="0.3">
      <c r="A16" s="14" t="s">
        <v>76</v>
      </c>
      <c r="B16" s="14"/>
      <c r="C16" s="14"/>
      <c r="F16" s="15"/>
    </row>
    <row r="17" spans="1:6" x14ac:dyDescent="0.3">
      <c r="A17" t="s">
        <v>27</v>
      </c>
      <c r="B17">
        <v>77723</v>
      </c>
      <c r="C17">
        <v>91479</v>
      </c>
      <c r="F17" s="15"/>
    </row>
    <row r="18" spans="1:6" x14ac:dyDescent="0.3">
      <c r="A18" t="s">
        <v>26</v>
      </c>
      <c r="B18">
        <v>49834</v>
      </c>
      <c r="C18">
        <v>45680</v>
      </c>
      <c r="F18" s="15"/>
    </row>
    <row r="19" spans="1:6" x14ac:dyDescent="0.3">
      <c r="A19" t="s">
        <v>25</v>
      </c>
      <c r="B19">
        <v>83727</v>
      </c>
      <c r="C19">
        <v>74834</v>
      </c>
      <c r="F19" s="15"/>
    </row>
    <row r="20" spans="1:6" x14ac:dyDescent="0.3">
      <c r="A20" s="12" t="s">
        <v>77</v>
      </c>
      <c r="B20" s="16">
        <v>211284</v>
      </c>
      <c r="C20" s="16">
        <v>211993</v>
      </c>
      <c r="F20" s="15"/>
    </row>
    <row r="21" spans="1:6" x14ac:dyDescent="0.3">
      <c r="A21" s="12"/>
      <c r="F21" s="15"/>
    </row>
    <row r="22" spans="1:6" ht="15" thickBot="1" x14ac:dyDescent="0.35">
      <c r="A22" s="3" t="s">
        <v>81</v>
      </c>
      <c r="B22" s="17">
        <v>359241</v>
      </c>
      <c r="C22" s="17">
        <v>364980</v>
      </c>
      <c r="F22" s="15"/>
    </row>
    <row r="23" spans="1:6" ht="15" thickTop="1" x14ac:dyDescent="0.3">
      <c r="F23" s="15"/>
    </row>
    <row r="24" spans="1:6" x14ac:dyDescent="0.3">
      <c r="A24" s="14" t="s">
        <v>69</v>
      </c>
      <c r="B24" s="14"/>
      <c r="C24" s="14"/>
      <c r="F24" s="15"/>
    </row>
    <row r="25" spans="1:6" x14ac:dyDescent="0.3">
      <c r="A25" t="s">
        <v>24</v>
      </c>
      <c r="B25">
        <v>69860</v>
      </c>
      <c r="C25">
        <v>68960</v>
      </c>
      <c r="F25" s="15"/>
    </row>
    <row r="26" spans="1:6" x14ac:dyDescent="0.3">
      <c r="A26" t="s">
        <v>23</v>
      </c>
      <c r="B26">
        <v>66387</v>
      </c>
      <c r="C26">
        <v>78340</v>
      </c>
      <c r="F26" s="15"/>
    </row>
    <row r="27" spans="1:6" x14ac:dyDescent="0.3">
      <c r="A27" t="s">
        <v>22</v>
      </c>
      <c r="B27">
        <v>9055</v>
      </c>
      <c r="C27">
        <v>8249</v>
      </c>
      <c r="F27" s="15"/>
    </row>
    <row r="28" spans="1:6" x14ac:dyDescent="0.3">
      <c r="A28" t="s">
        <v>21</v>
      </c>
      <c r="B28">
        <v>7979</v>
      </c>
      <c r="C28">
        <v>9967</v>
      </c>
      <c r="F28" s="15"/>
    </row>
    <row r="29" spans="1:6" x14ac:dyDescent="0.3">
      <c r="A29" t="s">
        <v>20</v>
      </c>
      <c r="B29">
        <v>12350</v>
      </c>
      <c r="C29">
        <v>10912</v>
      </c>
      <c r="F29" s="15"/>
    </row>
    <row r="30" spans="1:6" x14ac:dyDescent="0.3">
      <c r="A30" s="12" t="s">
        <v>78</v>
      </c>
      <c r="B30" s="16">
        <v>165631</v>
      </c>
      <c r="C30" s="16">
        <v>176329</v>
      </c>
      <c r="F30" s="15"/>
    </row>
    <row r="31" spans="1:6" x14ac:dyDescent="0.3">
      <c r="A31" s="12"/>
    </row>
    <row r="32" spans="1:6" x14ac:dyDescent="0.3">
      <c r="A32" s="14" t="s">
        <v>79</v>
      </c>
      <c r="B32" s="14"/>
      <c r="C32" s="14"/>
    </row>
    <row r="33" spans="1:3" x14ac:dyDescent="0.3">
      <c r="A33" t="s">
        <v>19</v>
      </c>
      <c r="B33">
        <v>78328</v>
      </c>
      <c r="C33">
        <v>85750</v>
      </c>
    </row>
    <row r="34" spans="1:3" x14ac:dyDescent="0.3">
      <c r="A34" t="s">
        <v>18</v>
      </c>
      <c r="B34">
        <v>41549</v>
      </c>
      <c r="C34">
        <v>45888</v>
      </c>
    </row>
    <row r="35" spans="1:3" x14ac:dyDescent="0.3">
      <c r="A35" s="12" t="s">
        <v>80</v>
      </c>
      <c r="B35" s="16">
        <v>119877</v>
      </c>
      <c r="C35" s="16">
        <v>131638</v>
      </c>
    </row>
    <row r="36" spans="1:3" x14ac:dyDescent="0.3">
      <c r="A36" s="12"/>
    </row>
    <row r="37" spans="1:3" ht="15" thickBot="1" x14ac:dyDescent="0.35">
      <c r="A37" s="3" t="s">
        <v>17</v>
      </c>
      <c r="B37" s="17">
        <v>285508</v>
      </c>
      <c r="C37" s="17">
        <v>308030</v>
      </c>
    </row>
    <row r="38" spans="1:3" ht="15" thickTop="1" x14ac:dyDescent="0.3"/>
    <row r="39" spans="1:3" x14ac:dyDescent="0.3">
      <c r="A39" s="14" t="s">
        <v>70</v>
      </c>
      <c r="B39" s="14"/>
      <c r="C39" s="14"/>
    </row>
    <row r="40" spans="1:3" x14ac:dyDescent="0.3">
      <c r="A40" t="s">
        <v>16</v>
      </c>
      <c r="B40">
        <v>93568</v>
      </c>
      <c r="C40">
        <v>83276</v>
      </c>
    </row>
    <row r="41" spans="1:3" x14ac:dyDescent="0.3">
      <c r="A41" t="s">
        <v>15</v>
      </c>
      <c r="B41">
        <v>-14264</v>
      </c>
      <c r="C41">
        <v>-19154</v>
      </c>
    </row>
    <row r="42" spans="1:3" x14ac:dyDescent="0.3">
      <c r="A42" t="s">
        <v>14</v>
      </c>
      <c r="B42">
        <v>-5571</v>
      </c>
      <c r="C42">
        <v>-7172</v>
      </c>
    </row>
    <row r="43" spans="1:3" x14ac:dyDescent="0.3">
      <c r="A43" s="3" t="s">
        <v>13</v>
      </c>
      <c r="B43" s="16">
        <v>73733</v>
      </c>
      <c r="C43" s="16">
        <v>56950</v>
      </c>
    </row>
    <row r="44" spans="1:3" x14ac:dyDescent="0.3">
      <c r="A44" s="3"/>
    </row>
    <row r="45" spans="1:3" ht="15" thickBot="1" x14ac:dyDescent="0.35">
      <c r="A45" s="3" t="s">
        <v>12</v>
      </c>
      <c r="B45" s="17">
        <v>359241</v>
      </c>
      <c r="C45" s="17">
        <v>364980</v>
      </c>
    </row>
    <row r="46" spans="1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Key Ratios</vt:lpstr>
      <vt:lpstr>Income Statement</vt:lpstr>
      <vt:lpstr>Cash Flow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Yang</dc:creator>
  <cp:lastModifiedBy>Rick Yang</cp:lastModifiedBy>
  <dcterms:created xsi:type="dcterms:W3CDTF">2015-06-05T18:17:20Z</dcterms:created>
  <dcterms:modified xsi:type="dcterms:W3CDTF">2026-01-03T06:42:46Z</dcterms:modified>
</cp:coreProperties>
</file>